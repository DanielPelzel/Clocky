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kabelu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8" authorId="0">
      <text>
        <r>
          <rPr>
            <sz val="10"/>
            <rFont val="Arial"/>
            <family val="2"/>
          </rPr>
          <t xml:space="preserve">Pin 1 = unten links (Dezimalpunkte zeigen nach unten).</t>
        </r>
      </text>
    </comment>
  </commentList>
</comments>
</file>

<file path=xl/sharedStrings.xml><?xml version="1.0" encoding="utf-8"?>
<sst xmlns="http://schemas.openxmlformats.org/spreadsheetml/2006/main" count="136" uniqueCount="99">
  <si>
    <t xml:space="preserve">Clocky – Verkabelung ESP32 DevKit V1 ↔ 7-Segment-Display 5641AS</t>
  </si>
  <si>
    <t xml:space="preserve">Gelbe Zellen (GPIO, Kabelfarbe, Gesteckt) sind Eingaben. Ändert man einen GPIO, aktualisieren sich die Pin-Ansichten unten automatisch.</t>
  </si>
  <si>
    <t xml:space="preserve">1. Verbindungen</t>
  </si>
  <si>
    <t xml:space="preserve">Display-Pin</t>
  </si>
  <si>
    <t xml:space="preserve">Funktion</t>
  </si>
  <si>
    <t xml:space="preserve">Typ</t>
  </si>
  <si>
    <t xml:space="preserve">Widerstand</t>
  </si>
  <si>
    <t xml:space="preserve">ESP32-GPIO</t>
  </si>
  <si>
    <t xml:space="preserve">Kabelfarbe</t>
  </si>
  <si>
    <t xml:space="preserve">Gesteckt ✓</t>
  </si>
  <si>
    <t xml:space="preserve">Prüfung</t>
  </si>
  <si>
    <t xml:space="preserve">Segment A</t>
  </si>
  <si>
    <t xml:space="preserve">Segment</t>
  </si>
  <si>
    <t xml:space="preserve">1 kΩ</t>
  </si>
  <si>
    <t xml:space="preserve">Segment B</t>
  </si>
  <si>
    <t xml:space="preserve">Segment C</t>
  </si>
  <si>
    <t xml:space="preserve">Segment D</t>
  </si>
  <si>
    <t xml:space="preserve">Segment E</t>
  </si>
  <si>
    <t xml:space="preserve">Segment F</t>
  </si>
  <si>
    <t xml:space="preserve">Segment G</t>
  </si>
  <si>
    <t xml:space="preserve">Dezimalpunkt DP</t>
  </si>
  <si>
    <t xml:space="preserve">Digit 1 (links)</t>
  </si>
  <si>
    <t xml:space="preserve">Digit</t>
  </si>
  <si>
    <t xml:space="preserve">– (direkt)</t>
  </si>
  <si>
    <t xml:space="preserve">Digit 2</t>
  </si>
  <si>
    <t xml:space="preserve">Digit 3</t>
  </si>
  <si>
    <t xml:space="preserve">Digit 4 (rechts)</t>
  </si>
  <si>
    <t xml:space="preserve">• Segment-Pins: GPIO → 1 kΩ → Display-Pin (Strombegrenzung, ca. 1,5 mA pro Segment bei 3,3 V und Vf ≈ 1,8 V laut Datenblatt).</t>
  </si>
  <si>
    <t xml:space="preserve">• Digit-Pins: GPIO direkt → Display-Pin. Common Cathode: Digit LOW = Stelle an, HIGH = aus. Max. ca. 12 mA pro Digit-Pin bei 1 kΩ.</t>
  </si>
  <si>
    <t xml:space="preserve">• Für mehr Helligkeit (z. B. 220 Ω) Digits über NPN-Transistoren schalten – dann kehrt sich die Digit-Logik um (HIGH = an).</t>
  </si>
  <si>
    <t xml:space="preserve">2. Display 5641AS (Common Cathode) – Ansicht von vorne, Dezimalpunkte unten</t>
  </si>
  <si>
    <t xml:space="preserve">→ GPIO</t>
  </si>
  <si>
    <t xml:space="preserve">Digit 1</t>
  </si>
  <si>
    <t xml:space="preserve">A</t>
  </si>
  <si>
    <t xml:space="preserve">F</t>
  </si>
  <si>
    <t xml:space="preserve">B</t>
  </si>
  <si>
    <t xml:space="preserve">Pin (oben)</t>
  </si>
  <si>
    <t xml:space="preserve">8.  8.  8.  8.</t>
  </si>
  <si>
    <t xml:space="preserve">Pin (unten)</t>
  </si>
  <si>
    <t xml:space="preserve">E</t>
  </si>
  <si>
    <t xml:space="preserve">D</t>
  </si>
  <si>
    <t xml:space="preserve">DP</t>
  </si>
  <si>
    <t xml:space="preserve">C</t>
  </si>
  <si>
    <t xml:space="preserve">G</t>
  </si>
  <si>
    <t xml:space="preserve">Digit 4</t>
  </si>
  <si>
    <t xml:space="preserve">Pin 1 unten links, Zählung gegen den Uhrzeigersinn (unten 1→6, oben 6→12 von rechts nach links). Quelle: XLITX 5641AS Datenblatt, S. 2.</t>
  </si>
  <si>
    <t xml:space="preserve">3. ESP32 DevKit V1 (30-Pin) – Ansicht von oben, USB-Buchse unten</t>
  </si>
  <si>
    <t xml:space="preserve">Hinweis</t>
  </si>
  <si>
    <t xml:space="preserve">Belegt durch</t>
  </si>
  <si>
    <t xml:space="preserve">GPIO</t>
  </si>
  <si>
    <t xml:space="preserve">Pin</t>
  </si>
  <si>
    <t xml:space="preserve">Board</t>
  </si>
  <si>
    <t xml:space="preserve">Reset</t>
  </si>
  <si>
    <t xml:space="preserve">EN</t>
  </si>
  <si>
    <t xml:space="preserve">ESP32
DevKit V1
▲ Antenne
▼ USB</t>
  </si>
  <si>
    <t xml:space="preserve">D23</t>
  </si>
  <si>
    <t xml:space="preserve">nur Eingang</t>
  </si>
  <si>
    <t xml:space="preserve">VP</t>
  </si>
  <si>
    <t xml:space="preserve">D22</t>
  </si>
  <si>
    <t xml:space="preserve">I²C SCL – frei halten</t>
  </si>
  <si>
    <t xml:space="preserve">VN</t>
  </si>
  <si>
    <t xml:space="preserve">TX0</t>
  </si>
  <si>
    <t xml:space="preserve">USB-Seriell – meiden</t>
  </si>
  <si>
    <t xml:space="preserve">D34</t>
  </si>
  <si>
    <t xml:space="preserve">RX0</t>
  </si>
  <si>
    <t xml:space="preserve">D35</t>
  </si>
  <si>
    <t xml:space="preserve">D21</t>
  </si>
  <si>
    <t xml:space="preserve">I²C SDA – frei halten</t>
  </si>
  <si>
    <t xml:space="preserve">D32</t>
  </si>
  <si>
    <t xml:space="preserve">D19</t>
  </si>
  <si>
    <t xml:space="preserve">D33</t>
  </si>
  <si>
    <t xml:space="preserve">D18</t>
  </si>
  <si>
    <t xml:space="preserve">D25</t>
  </si>
  <si>
    <t xml:space="preserve">D5</t>
  </si>
  <si>
    <t xml:space="preserve">Strapping – meiden</t>
  </si>
  <si>
    <t xml:space="preserve">D26</t>
  </si>
  <si>
    <t xml:space="preserve">TX2</t>
  </si>
  <si>
    <t xml:space="preserve">D27</t>
  </si>
  <si>
    <t xml:space="preserve">RX2</t>
  </si>
  <si>
    <t xml:space="preserve">D14</t>
  </si>
  <si>
    <t xml:space="preserve">D4</t>
  </si>
  <si>
    <t xml:space="preserve">D12</t>
  </si>
  <si>
    <t xml:space="preserve">D2</t>
  </si>
  <si>
    <t xml:space="preserve">Strapping, Onboard-LED</t>
  </si>
  <si>
    <t xml:space="preserve">D13</t>
  </si>
  <si>
    <t xml:space="preserve">D15</t>
  </si>
  <si>
    <t xml:space="preserve">Masse</t>
  </si>
  <si>
    <t xml:space="preserve">GND</t>
  </si>
  <si>
    <t xml:space="preserve">5 V (USB)</t>
  </si>
  <si>
    <t xml:space="preserve">VIN</t>
  </si>
  <si>
    <t xml:space="preserve">3V3</t>
  </si>
  <si>
    <t xml:space="preserve">3,3 V Ausgang</t>
  </si>
  <si>
    <t xml:space="preserve">Legende</t>
  </si>
  <si>
    <t xml:space="preserve">Segment-Leitung (über 1 kΩ)</t>
  </si>
  <si>
    <t xml:space="preserve">Digit-Leitung (direkt)</t>
  </si>
  <si>
    <t xml:space="preserve">Eingabe-Zelle</t>
  </si>
  <si>
    <t xml:space="preserve">Pin meiden / Problem</t>
  </si>
  <si>
    <t xml:space="preserve">Versorgung / kein GPIO</t>
  </si>
  <si>
    <t xml:space="preserve">Pinbelegung gilt für die verbreitete 30-Pin-Version des DOIT ESP32 DevKit V1. Bei der 36-Pin-Version Beschriftung auf dem Board prüfen.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</si>
</sst>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20"/>
      <color rgb="FFFF3B3B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3B4C"/>
        <bgColor rgb="FF1F4E3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2E2"/>
      </patternFill>
    </fill>
    <fill>
      <patternFill patternType="solid">
        <fgColor rgb="FFE2E2E2"/>
        <bgColor rgb="FFD9EAD3"/>
      </patternFill>
    </fill>
    <fill>
      <patternFill patternType="solid">
        <fgColor rgb="FF222222"/>
        <bgColor rgb="FF2F3B4C"/>
      </patternFill>
    </fill>
    <fill>
      <patternFill patternType="solid">
        <fgColor rgb="FF1F4E3D"/>
        <bgColor rgb="FF2F3B4C"/>
      </patternFill>
    </fill>
    <fill>
      <patternFill patternType="solid">
        <fgColor rgb="FFF4CC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3B3B"/>
      <rgbColor rgb="FF555555"/>
      <rgbColor rgb="FF999999"/>
      <rgbColor rgb="FF1F4E3D"/>
      <rgbColor rgb="FF339966"/>
      <rgbColor rgb="FF003300"/>
      <rgbColor rgb="FF222222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n">
        <v>11</v>
      </c>
      <c r="B6" s="6" t="s">
        <v>11</v>
      </c>
      <c r="C6" s="5" t="s">
        <v>12</v>
      </c>
      <c r="D6" s="5" t="s">
        <v>13</v>
      </c>
      <c r="E6" s="7" t="n">
        <v>13</v>
      </c>
      <c r="F6" s="8"/>
      <c r="G6" s="8"/>
      <c r="H6" s="9" t="str">
        <f aca="false">IF(E6="","fehlt",IF(COUNTIF($E$6:$E$17,E6)&gt;1,"GPIO doppelt!",IF(ISNUMBER(MATCH(E6,{0,1,2,3,5,6,7,8,9,10,11,12,15,34,35,36,39},0)),"Pin ungeeignet","OK")))</f>
        <v>OK</v>
      </c>
    </row>
    <row r="7" customFormat="false" ht="15" hidden="false" customHeight="false" outlineLevel="0" collapsed="false">
      <c r="A7" s="5" t="n">
        <v>7</v>
      </c>
      <c r="B7" s="6" t="s">
        <v>14</v>
      </c>
      <c r="C7" s="5" t="s">
        <v>12</v>
      </c>
      <c r="D7" s="5" t="s">
        <v>13</v>
      </c>
      <c r="E7" s="7" t="n">
        <v>14</v>
      </c>
      <c r="F7" s="8"/>
      <c r="G7" s="8"/>
      <c r="H7" s="9" t="str">
        <f aca="false">IF(E7="","fehlt",IF(COUNTIF($E$6:$E$17,E7)&gt;1,"GPIO doppelt!",IF(ISNUMBER(MATCH(E7,{0,1,2,3,5,6,7,8,9,10,11,12,15,34,35,36,39},0)),"Pin ungeeignet","OK")))</f>
        <v>OK</v>
      </c>
    </row>
    <row r="8" customFormat="false" ht="15" hidden="false" customHeight="false" outlineLevel="0" collapsed="false">
      <c r="A8" s="5" t="n">
        <v>4</v>
      </c>
      <c r="B8" s="6" t="s">
        <v>15</v>
      </c>
      <c r="C8" s="5" t="s">
        <v>12</v>
      </c>
      <c r="D8" s="5" t="s">
        <v>13</v>
      </c>
      <c r="E8" s="7" t="n">
        <v>16</v>
      </c>
      <c r="F8" s="8"/>
      <c r="G8" s="8"/>
      <c r="H8" s="9" t="str">
        <f aca="false">IF(E8="","fehlt",IF(COUNTIF($E$6:$E$17,E8)&gt;1,"GPIO doppelt!",IF(ISNUMBER(MATCH(E8,{0,1,2,3,5,6,7,8,9,10,11,12,15,34,35,36,39},0)),"Pin ungeeignet","OK")))</f>
        <v>OK</v>
      </c>
    </row>
    <row r="9" customFormat="false" ht="15" hidden="false" customHeight="false" outlineLevel="0" collapsed="false">
      <c r="A9" s="5" t="n">
        <v>2</v>
      </c>
      <c r="B9" s="6" t="s">
        <v>16</v>
      </c>
      <c r="C9" s="5" t="s">
        <v>12</v>
      </c>
      <c r="D9" s="5" t="s">
        <v>13</v>
      </c>
      <c r="E9" s="7" t="n">
        <v>17</v>
      </c>
      <c r="F9" s="8"/>
      <c r="G9" s="8"/>
      <c r="H9" s="9" t="str">
        <f aca="false">IF(E9="","fehlt",IF(COUNTIF($E$6:$E$17,E9)&gt;1,"GPIO doppelt!",IF(ISNUMBER(MATCH(E9,{0,1,2,3,5,6,7,8,9,10,11,12,15,34,35,36,39},0)),"Pin ungeeignet","OK")))</f>
        <v>OK</v>
      </c>
    </row>
    <row r="10" customFormat="false" ht="15" hidden="false" customHeight="false" outlineLevel="0" collapsed="false">
      <c r="A10" s="5" t="n">
        <v>1</v>
      </c>
      <c r="B10" s="6" t="s">
        <v>17</v>
      </c>
      <c r="C10" s="5" t="s">
        <v>12</v>
      </c>
      <c r="D10" s="5" t="s">
        <v>13</v>
      </c>
      <c r="E10" s="7" t="n">
        <v>18</v>
      </c>
      <c r="F10" s="8"/>
      <c r="G10" s="8"/>
      <c r="H10" s="9" t="str">
        <f aca="false">IF(E10="","fehlt",IF(COUNTIF($E$6:$E$17,E10)&gt;1,"GPIO doppelt!",IF(ISNUMBER(MATCH(E10,{0,1,2,3,5,6,7,8,9,10,11,12,15,34,35,36,39},0)),"Pin ungeeignet","OK")))</f>
        <v>OK</v>
      </c>
    </row>
    <row r="11" customFormat="false" ht="15" hidden="false" customHeight="false" outlineLevel="0" collapsed="false">
      <c r="A11" s="5" t="n">
        <v>10</v>
      </c>
      <c r="B11" s="6" t="s">
        <v>18</v>
      </c>
      <c r="C11" s="5" t="s">
        <v>12</v>
      </c>
      <c r="D11" s="5" t="s">
        <v>13</v>
      </c>
      <c r="E11" s="7" t="n">
        <v>19</v>
      </c>
      <c r="F11" s="8"/>
      <c r="G11" s="8"/>
      <c r="H11" s="9" t="str">
        <f aca="false">IF(E11="","fehlt",IF(COUNTIF($E$6:$E$17,E11)&gt;1,"GPIO doppelt!",IF(ISNUMBER(MATCH(E11,{0,1,2,3,5,6,7,8,9,10,11,12,15,34,35,36,39},0)),"Pin ungeeignet","OK")))</f>
        <v>OK</v>
      </c>
    </row>
    <row r="12" customFormat="false" ht="15" hidden="false" customHeight="false" outlineLevel="0" collapsed="false">
      <c r="A12" s="5" t="n">
        <v>5</v>
      </c>
      <c r="B12" s="6" t="s">
        <v>19</v>
      </c>
      <c r="C12" s="5" t="s">
        <v>12</v>
      </c>
      <c r="D12" s="5" t="s">
        <v>13</v>
      </c>
      <c r="E12" s="7" t="n">
        <v>23</v>
      </c>
      <c r="F12" s="8"/>
      <c r="G12" s="8"/>
      <c r="H12" s="9" t="str">
        <f aca="false">IF(E12="","fehlt",IF(COUNTIF($E$6:$E$17,E12)&gt;1,"GPIO doppelt!",IF(ISNUMBER(MATCH(E12,{0,1,2,3,5,6,7,8,9,10,11,12,15,34,35,36,39},0)),"Pin ungeeignet","OK")))</f>
        <v>OK</v>
      </c>
    </row>
    <row r="13" customFormat="false" ht="15" hidden="false" customHeight="false" outlineLevel="0" collapsed="false">
      <c r="A13" s="5" t="n">
        <v>3</v>
      </c>
      <c r="B13" s="6" t="s">
        <v>20</v>
      </c>
      <c r="C13" s="5" t="s">
        <v>12</v>
      </c>
      <c r="D13" s="5" t="s">
        <v>13</v>
      </c>
      <c r="E13" s="7" t="n">
        <v>25</v>
      </c>
      <c r="F13" s="8"/>
      <c r="G13" s="8"/>
      <c r="H13" s="9" t="str">
        <f aca="false">IF(E13="","fehlt",IF(COUNTIF($E$6:$E$17,E13)&gt;1,"GPIO doppelt!",IF(ISNUMBER(MATCH(E13,{0,1,2,3,5,6,7,8,9,10,11,12,15,34,35,36,39},0)),"Pin ungeeignet","OK")))</f>
        <v>OK</v>
      </c>
    </row>
    <row r="14" customFormat="false" ht="15" hidden="false" customHeight="false" outlineLevel="0" collapsed="false">
      <c r="A14" s="10" t="n">
        <v>12</v>
      </c>
      <c r="B14" s="11" t="s">
        <v>21</v>
      </c>
      <c r="C14" s="10" t="s">
        <v>22</v>
      </c>
      <c r="D14" s="10" t="s">
        <v>23</v>
      </c>
      <c r="E14" s="7" t="n">
        <v>26</v>
      </c>
      <c r="F14" s="8"/>
      <c r="G14" s="8"/>
      <c r="H14" s="9" t="str">
        <f aca="false">IF(E14="","fehlt",IF(COUNTIF($E$6:$E$17,E14)&gt;1,"GPIO doppelt!",IF(ISNUMBER(MATCH(E14,{0,1,2,3,5,6,7,8,9,10,11,12,15,34,35,36,39},0)),"Pin ungeeignet","OK")))</f>
        <v>OK</v>
      </c>
    </row>
    <row r="15" customFormat="false" ht="15" hidden="false" customHeight="false" outlineLevel="0" collapsed="false">
      <c r="A15" s="10" t="n">
        <v>9</v>
      </c>
      <c r="B15" s="11" t="s">
        <v>24</v>
      </c>
      <c r="C15" s="10" t="s">
        <v>22</v>
      </c>
      <c r="D15" s="10" t="s">
        <v>23</v>
      </c>
      <c r="E15" s="7" t="n">
        <v>27</v>
      </c>
      <c r="F15" s="8"/>
      <c r="G15" s="8"/>
      <c r="H15" s="9" t="str">
        <f aca="false">IF(E15="","fehlt",IF(COUNTIF($E$6:$E$17,E15)&gt;1,"GPIO doppelt!",IF(ISNUMBER(MATCH(E15,{0,1,2,3,5,6,7,8,9,10,11,12,15,34,35,36,39},0)),"Pin ungeeignet","OK")))</f>
        <v>OK</v>
      </c>
    </row>
    <row r="16" customFormat="false" ht="15" hidden="false" customHeight="false" outlineLevel="0" collapsed="false">
      <c r="A16" s="10" t="n">
        <v>8</v>
      </c>
      <c r="B16" s="11" t="s">
        <v>25</v>
      </c>
      <c r="C16" s="10" t="s">
        <v>22</v>
      </c>
      <c r="D16" s="10" t="s">
        <v>23</v>
      </c>
      <c r="E16" s="7" t="n">
        <v>32</v>
      </c>
      <c r="F16" s="8"/>
      <c r="G16" s="8"/>
      <c r="H16" s="9" t="str">
        <f aca="false">IF(E16="","fehlt",IF(COUNTIF($E$6:$E$17,E16)&gt;1,"GPIO doppelt!",IF(ISNUMBER(MATCH(E16,{0,1,2,3,5,6,7,8,9,10,11,12,15,34,35,36,39},0)),"Pin ungeeignet","OK")))</f>
        <v>OK</v>
      </c>
    </row>
    <row r="17" customFormat="false" ht="15" hidden="false" customHeight="false" outlineLevel="0" collapsed="false">
      <c r="A17" s="10" t="n">
        <v>6</v>
      </c>
      <c r="B17" s="11" t="s">
        <v>26</v>
      </c>
      <c r="C17" s="10" t="s">
        <v>22</v>
      </c>
      <c r="D17" s="10" t="s">
        <v>23</v>
      </c>
      <c r="E17" s="7" t="n">
        <v>33</v>
      </c>
      <c r="F17" s="8"/>
      <c r="G17" s="8"/>
      <c r="H17" s="9" t="str">
        <f aca="false">IF(E17="","fehlt",IF(COUNTIF($E$6:$E$17,E17)&gt;1,"GPIO doppelt!",IF(ISNUMBER(MATCH(E17,{0,1,2,3,5,6,7,8,9,10,11,12,15,34,35,36,39},0)),"Pin ungeeignet","OK")))</f>
        <v>OK</v>
      </c>
    </row>
    <row r="18" customFormat="false" ht="15" hidden="false" customHeight="true" outlineLevel="0" collapsed="false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true" outlineLevel="0" collapsed="false">
      <c r="A19" s="2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true" outlineLevel="0" collapsed="false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3" customFormat="false" ht="15" hidden="false" customHeight="true" outlineLevel="0" collapsed="false">
      <c r="A23" s="3" t="s">
        <v>30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12" t="s">
        <v>31</v>
      </c>
      <c r="B24" s="13" t="n">
        <f aca="false">IFERROR(INDEX($E$6:$E$17,MATCH(12,$A$6:$A$17,0)),"")</f>
        <v>26</v>
      </c>
      <c r="C24" s="14" t="n">
        <f aca="false">IFERROR(INDEX($E$6:$E$17,MATCH(11,$A$6:$A$17,0)),"")</f>
        <v>13</v>
      </c>
      <c r="D24" s="14" t="n">
        <f aca="false">IFERROR(INDEX($E$6:$E$17,MATCH(10,$A$6:$A$17,0)),"")</f>
        <v>19</v>
      </c>
      <c r="E24" s="13" t="n">
        <f aca="false">IFERROR(INDEX($E$6:$E$17,MATCH(9,$A$6:$A$17,0)),"")</f>
        <v>27</v>
      </c>
      <c r="F24" s="13" t="n">
        <f aca="false">IFERROR(INDEX($E$6:$E$17,MATCH(8,$A$6:$A$17,0)),"")</f>
        <v>32</v>
      </c>
      <c r="G24" s="14" t="n">
        <f aca="false">IFERROR(INDEX($E$6:$E$17,MATCH(7,$A$6:$A$17,0)),"")</f>
        <v>14</v>
      </c>
    </row>
    <row r="25" customFormat="false" ht="15" hidden="false" customHeight="false" outlineLevel="0" collapsed="false">
      <c r="A25" s="12" t="s">
        <v>4</v>
      </c>
      <c r="B25" s="10" t="s">
        <v>32</v>
      </c>
      <c r="C25" s="5" t="s">
        <v>33</v>
      </c>
      <c r="D25" s="5" t="s">
        <v>34</v>
      </c>
      <c r="E25" s="10" t="s">
        <v>24</v>
      </c>
      <c r="F25" s="10" t="s">
        <v>25</v>
      </c>
      <c r="G25" s="5" t="s">
        <v>35</v>
      </c>
    </row>
    <row r="26" customFormat="false" ht="15" hidden="false" customHeight="false" outlineLevel="0" collapsed="false">
      <c r="A26" s="12" t="s">
        <v>36</v>
      </c>
      <c r="B26" s="15" t="n">
        <v>12</v>
      </c>
      <c r="C26" s="15" t="n">
        <v>11</v>
      </c>
      <c r="D26" s="15" t="n">
        <v>10</v>
      </c>
      <c r="E26" s="15" t="n">
        <v>9</v>
      </c>
      <c r="F26" s="15" t="n">
        <v>8</v>
      </c>
      <c r="G26" s="15" t="n">
        <v>7</v>
      </c>
    </row>
    <row r="27" customFormat="false" ht="33.75" hidden="false" customHeight="true" outlineLevel="0" collapsed="false">
      <c r="B27" s="16" t="s">
        <v>37</v>
      </c>
      <c r="C27" s="16"/>
      <c r="D27" s="16"/>
      <c r="E27" s="16"/>
      <c r="F27" s="16"/>
      <c r="G27" s="16"/>
    </row>
    <row r="28" customFormat="false" ht="15" hidden="false" customHeight="false" outlineLevel="0" collapsed="false">
      <c r="A28" s="12" t="s">
        <v>38</v>
      </c>
      <c r="B28" s="15" t="n">
        <v>1</v>
      </c>
      <c r="C28" s="15" t="n">
        <v>2</v>
      </c>
      <c r="D28" s="15" t="n">
        <v>3</v>
      </c>
      <c r="E28" s="15" t="n">
        <v>4</v>
      </c>
      <c r="F28" s="15" t="n">
        <v>5</v>
      </c>
      <c r="G28" s="15" t="n">
        <v>6</v>
      </c>
    </row>
    <row r="29" customFormat="false" ht="15" hidden="false" customHeight="false" outlineLevel="0" collapsed="false">
      <c r="A29" s="12" t="s">
        <v>4</v>
      </c>
      <c r="B29" s="5" t="s">
        <v>39</v>
      </c>
      <c r="C29" s="5" t="s">
        <v>40</v>
      </c>
      <c r="D29" s="5" t="s">
        <v>41</v>
      </c>
      <c r="E29" s="5" t="s">
        <v>42</v>
      </c>
      <c r="F29" s="5" t="s">
        <v>43</v>
      </c>
      <c r="G29" s="10" t="s">
        <v>44</v>
      </c>
    </row>
    <row r="30" customFormat="false" ht="15" hidden="false" customHeight="false" outlineLevel="0" collapsed="false">
      <c r="A30" s="12" t="s">
        <v>31</v>
      </c>
      <c r="B30" s="14" t="n">
        <f aca="false">IFERROR(INDEX($E$6:$E$17,MATCH(1,$A$6:$A$17,0)),"")</f>
        <v>18</v>
      </c>
      <c r="C30" s="14" t="n">
        <f aca="false">IFERROR(INDEX($E$6:$E$17,MATCH(2,$A$6:$A$17,0)),"")</f>
        <v>17</v>
      </c>
      <c r="D30" s="14" t="n">
        <f aca="false">IFERROR(INDEX($E$6:$E$17,MATCH(3,$A$6:$A$17,0)),"")</f>
        <v>25</v>
      </c>
      <c r="E30" s="14" t="n">
        <f aca="false">IFERROR(INDEX($E$6:$E$17,MATCH(4,$A$6:$A$17,0)),"")</f>
        <v>16</v>
      </c>
      <c r="F30" s="14" t="n">
        <f aca="false">IFERROR(INDEX($E$6:$E$17,MATCH(5,$A$6:$A$17,0)),"")</f>
        <v>23</v>
      </c>
      <c r="G30" s="13" t="n">
        <f aca="false">IFERROR(INDEX($E$6:$E$17,MATCH(6,$A$6:$A$17,0)),"")</f>
        <v>33</v>
      </c>
    </row>
    <row r="31" customFormat="false" ht="15" hidden="false" customHeight="true" outlineLevel="0" collapsed="false">
      <c r="A31" s="2" t="s">
        <v>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4" customFormat="false" ht="15" hidden="false" customHeight="true" outlineLevel="0" collapsed="false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4" t="s">
        <v>47</v>
      </c>
      <c r="B35" s="4" t="s">
        <v>48</v>
      </c>
      <c r="C35" s="4" t="s">
        <v>49</v>
      </c>
      <c r="D35" s="4" t="s">
        <v>50</v>
      </c>
      <c r="E35" s="17" t="s">
        <v>51</v>
      </c>
      <c r="F35" s="17"/>
      <c r="G35" s="17"/>
      <c r="H35" s="17"/>
      <c r="I35" s="4" t="s">
        <v>50</v>
      </c>
      <c r="J35" s="4" t="s">
        <v>49</v>
      </c>
      <c r="K35" s="4" t="s">
        <v>48</v>
      </c>
      <c r="L35" s="4" t="s">
        <v>47</v>
      </c>
    </row>
    <row r="36" customFormat="false" ht="15" hidden="false" customHeight="true" outlineLevel="0" collapsed="false">
      <c r="A36" s="18" t="s">
        <v>52</v>
      </c>
      <c r="B36" s="19"/>
      <c r="C36" s="19"/>
      <c r="D36" s="12" t="s">
        <v>53</v>
      </c>
      <c r="E36" s="20" t="s">
        <v>54</v>
      </c>
      <c r="F36" s="20"/>
      <c r="G36" s="20"/>
      <c r="H36" s="20"/>
      <c r="I36" s="15" t="s">
        <v>55</v>
      </c>
      <c r="J36" s="9" t="n">
        <v>23</v>
      </c>
      <c r="K36" s="15" t="str">
        <f aca="false">IFERROR(INDEX($B$6:$B$17,MATCH(J36,$E$6:$E$17,0)),"")</f>
        <v>Segment G</v>
      </c>
      <c r="L36" s="21"/>
    </row>
    <row r="37" customFormat="false" ht="22.35" hidden="false" customHeight="false" outlineLevel="0" collapsed="false">
      <c r="A37" s="22" t="s">
        <v>56</v>
      </c>
      <c r="B37" s="15" t="str">
        <f aca="false">IFERROR(INDEX($B$6:$B$17,MATCH(C37,$E$6:$E$17,0)),"")</f>
        <v/>
      </c>
      <c r="C37" s="9" t="n">
        <v>36</v>
      </c>
      <c r="D37" s="15" t="s">
        <v>57</v>
      </c>
      <c r="E37" s="20"/>
      <c r="F37" s="20"/>
      <c r="G37" s="20"/>
      <c r="H37" s="20"/>
      <c r="I37" s="15" t="s">
        <v>58</v>
      </c>
      <c r="J37" s="9" t="n">
        <v>22</v>
      </c>
      <c r="K37" s="15" t="str">
        <f aca="false">IFERROR(INDEX($B$6:$B$17,MATCH(J37,$E$6:$E$17,0)),"")</f>
        <v/>
      </c>
      <c r="L37" s="21" t="s">
        <v>59</v>
      </c>
    </row>
    <row r="38" customFormat="false" ht="22.35" hidden="false" customHeight="false" outlineLevel="0" collapsed="false">
      <c r="A38" s="22" t="s">
        <v>56</v>
      </c>
      <c r="B38" s="15" t="str">
        <f aca="false">IFERROR(INDEX($B$6:$B$17,MATCH(C38,$E$6:$E$17,0)),"")</f>
        <v/>
      </c>
      <c r="C38" s="9" t="n">
        <v>39</v>
      </c>
      <c r="D38" s="15" t="s">
        <v>60</v>
      </c>
      <c r="E38" s="20"/>
      <c r="F38" s="20"/>
      <c r="G38" s="20"/>
      <c r="H38" s="20"/>
      <c r="I38" s="15" t="s">
        <v>61</v>
      </c>
      <c r="J38" s="9" t="n">
        <v>1</v>
      </c>
      <c r="K38" s="15" t="str">
        <f aca="false">IFERROR(INDEX($B$6:$B$17,MATCH(J38,$E$6:$E$17,0)),"")</f>
        <v/>
      </c>
      <c r="L38" s="22" t="s">
        <v>62</v>
      </c>
    </row>
    <row r="39" customFormat="false" ht="22.35" hidden="false" customHeight="false" outlineLevel="0" collapsed="false">
      <c r="A39" s="22" t="s">
        <v>56</v>
      </c>
      <c r="B39" s="15" t="str">
        <f aca="false">IFERROR(INDEX($B$6:$B$17,MATCH(C39,$E$6:$E$17,0)),"")</f>
        <v/>
      </c>
      <c r="C39" s="9" t="n">
        <v>34</v>
      </c>
      <c r="D39" s="15" t="s">
        <v>63</v>
      </c>
      <c r="E39" s="20"/>
      <c r="F39" s="20"/>
      <c r="G39" s="20"/>
      <c r="H39" s="20"/>
      <c r="I39" s="15" t="s">
        <v>64</v>
      </c>
      <c r="J39" s="9" t="n">
        <v>3</v>
      </c>
      <c r="K39" s="15" t="str">
        <f aca="false">IFERROR(INDEX($B$6:$B$17,MATCH(J39,$E$6:$E$17,0)),"")</f>
        <v/>
      </c>
      <c r="L39" s="22" t="s">
        <v>62</v>
      </c>
    </row>
    <row r="40" customFormat="false" ht="22.35" hidden="false" customHeight="false" outlineLevel="0" collapsed="false">
      <c r="A40" s="22" t="s">
        <v>56</v>
      </c>
      <c r="B40" s="15" t="str">
        <f aca="false">IFERROR(INDEX($B$6:$B$17,MATCH(C40,$E$6:$E$17,0)),"")</f>
        <v/>
      </c>
      <c r="C40" s="9" t="n">
        <v>35</v>
      </c>
      <c r="D40" s="15" t="s">
        <v>65</v>
      </c>
      <c r="E40" s="20"/>
      <c r="F40" s="20"/>
      <c r="G40" s="20"/>
      <c r="H40" s="20"/>
      <c r="I40" s="15" t="s">
        <v>66</v>
      </c>
      <c r="J40" s="9" t="n">
        <v>21</v>
      </c>
      <c r="K40" s="15" t="str">
        <f aca="false">IFERROR(INDEX($B$6:$B$17,MATCH(J40,$E$6:$E$17,0)),"")</f>
        <v/>
      </c>
      <c r="L40" s="21" t="s">
        <v>67</v>
      </c>
    </row>
    <row r="41" customFormat="false" ht="15" hidden="false" customHeight="false" outlineLevel="0" collapsed="false">
      <c r="A41" s="21"/>
      <c r="B41" s="15" t="str">
        <f aca="false">IFERROR(INDEX($B$6:$B$17,MATCH(C41,$E$6:$E$17,0)),"")</f>
        <v>Digit 3</v>
      </c>
      <c r="C41" s="9" t="n">
        <v>32</v>
      </c>
      <c r="D41" s="15" t="s">
        <v>68</v>
      </c>
      <c r="E41" s="20"/>
      <c r="F41" s="20"/>
      <c r="G41" s="20"/>
      <c r="H41" s="20"/>
      <c r="I41" s="15" t="s">
        <v>69</v>
      </c>
      <c r="J41" s="9" t="n">
        <v>19</v>
      </c>
      <c r="K41" s="15" t="str">
        <f aca="false">IFERROR(INDEX($B$6:$B$17,MATCH(J41,$E$6:$E$17,0)),"")</f>
        <v>Segment F</v>
      </c>
      <c r="L41" s="21"/>
    </row>
    <row r="42" customFormat="false" ht="15" hidden="false" customHeight="false" outlineLevel="0" collapsed="false">
      <c r="A42" s="21"/>
      <c r="B42" s="15" t="str">
        <f aca="false">IFERROR(INDEX($B$6:$B$17,MATCH(C42,$E$6:$E$17,0)),"")</f>
        <v>Digit 4 (rechts)</v>
      </c>
      <c r="C42" s="9" t="n">
        <v>33</v>
      </c>
      <c r="D42" s="15" t="s">
        <v>70</v>
      </c>
      <c r="E42" s="20"/>
      <c r="F42" s="20"/>
      <c r="G42" s="20"/>
      <c r="H42" s="20"/>
      <c r="I42" s="15" t="s">
        <v>71</v>
      </c>
      <c r="J42" s="9" t="n">
        <v>18</v>
      </c>
      <c r="K42" s="15" t="str">
        <f aca="false">IFERROR(INDEX($B$6:$B$17,MATCH(J42,$E$6:$E$17,0)),"")</f>
        <v>Segment E</v>
      </c>
      <c r="L42" s="21"/>
    </row>
    <row r="43" customFormat="false" ht="23.85" hidden="false" customHeight="false" outlineLevel="0" collapsed="false">
      <c r="A43" s="21"/>
      <c r="B43" s="15" t="str">
        <f aca="false">IFERROR(INDEX($B$6:$B$17,MATCH(C43,$E$6:$E$17,0)),"")</f>
        <v>Dezimalpunkt DP</v>
      </c>
      <c r="C43" s="9" t="n">
        <v>25</v>
      </c>
      <c r="D43" s="15" t="s">
        <v>72</v>
      </c>
      <c r="E43" s="20"/>
      <c r="F43" s="20"/>
      <c r="G43" s="20"/>
      <c r="H43" s="20"/>
      <c r="I43" s="15" t="s">
        <v>73</v>
      </c>
      <c r="J43" s="9" t="n">
        <v>5</v>
      </c>
      <c r="K43" s="15" t="str">
        <f aca="false">IFERROR(INDEX($B$6:$B$17,MATCH(J43,$E$6:$E$17,0)),"")</f>
        <v/>
      </c>
      <c r="L43" s="22" t="s">
        <v>74</v>
      </c>
    </row>
    <row r="44" customFormat="false" ht="15" hidden="false" customHeight="false" outlineLevel="0" collapsed="false">
      <c r="A44" s="21"/>
      <c r="B44" s="15" t="str">
        <f aca="false">IFERROR(INDEX($B$6:$B$17,MATCH(C44,$E$6:$E$17,0)),"")</f>
        <v>Digit 1 (links)</v>
      </c>
      <c r="C44" s="9" t="n">
        <v>26</v>
      </c>
      <c r="D44" s="15" t="s">
        <v>75</v>
      </c>
      <c r="E44" s="20"/>
      <c r="F44" s="20"/>
      <c r="G44" s="20"/>
      <c r="H44" s="20"/>
      <c r="I44" s="15" t="s">
        <v>76</v>
      </c>
      <c r="J44" s="9" t="n">
        <v>17</v>
      </c>
      <c r="K44" s="15" t="str">
        <f aca="false">IFERROR(INDEX($B$6:$B$17,MATCH(J44,$E$6:$E$17,0)),"")</f>
        <v>Segment D</v>
      </c>
      <c r="L44" s="21"/>
    </row>
    <row r="45" customFormat="false" ht="15" hidden="false" customHeight="false" outlineLevel="0" collapsed="false">
      <c r="A45" s="21"/>
      <c r="B45" s="15" t="str">
        <f aca="false">IFERROR(INDEX($B$6:$B$17,MATCH(C45,$E$6:$E$17,0)),"")</f>
        <v>Digit 2</v>
      </c>
      <c r="C45" s="9" t="n">
        <v>27</v>
      </c>
      <c r="D45" s="15" t="s">
        <v>77</v>
      </c>
      <c r="E45" s="20"/>
      <c r="F45" s="20"/>
      <c r="G45" s="20"/>
      <c r="H45" s="20"/>
      <c r="I45" s="15" t="s">
        <v>78</v>
      </c>
      <c r="J45" s="9" t="n">
        <v>16</v>
      </c>
      <c r="K45" s="15" t="str">
        <f aca="false">IFERROR(INDEX($B$6:$B$17,MATCH(J45,$E$6:$E$17,0)),"")</f>
        <v>Segment C</v>
      </c>
      <c r="L45" s="21"/>
    </row>
    <row r="46" customFormat="false" ht="15" hidden="false" customHeight="false" outlineLevel="0" collapsed="false">
      <c r="A46" s="21"/>
      <c r="B46" s="15" t="str">
        <f aca="false">IFERROR(INDEX($B$6:$B$17,MATCH(C46,$E$6:$E$17,0)),"")</f>
        <v>Segment B</v>
      </c>
      <c r="C46" s="9" t="n">
        <v>14</v>
      </c>
      <c r="D46" s="15" t="s">
        <v>79</v>
      </c>
      <c r="E46" s="20"/>
      <c r="F46" s="20"/>
      <c r="G46" s="20"/>
      <c r="H46" s="20"/>
      <c r="I46" s="15" t="s">
        <v>80</v>
      </c>
      <c r="J46" s="9" t="n">
        <v>4</v>
      </c>
      <c r="K46" s="15" t="str">
        <f aca="false">IFERROR(INDEX($B$6:$B$17,MATCH(J46,$E$6:$E$17,0)),"")</f>
        <v/>
      </c>
      <c r="L46" s="21"/>
    </row>
    <row r="47" customFormat="false" ht="22.35" hidden="false" customHeight="false" outlineLevel="0" collapsed="false">
      <c r="A47" s="22" t="s">
        <v>74</v>
      </c>
      <c r="B47" s="15" t="str">
        <f aca="false">IFERROR(INDEX($B$6:$B$17,MATCH(C47,$E$6:$E$17,0)),"")</f>
        <v/>
      </c>
      <c r="C47" s="9" t="n">
        <v>12</v>
      </c>
      <c r="D47" s="15" t="s">
        <v>81</v>
      </c>
      <c r="E47" s="20"/>
      <c r="F47" s="20"/>
      <c r="G47" s="20"/>
      <c r="H47" s="20"/>
      <c r="I47" s="15" t="s">
        <v>82</v>
      </c>
      <c r="J47" s="9" t="n">
        <v>2</v>
      </c>
      <c r="K47" s="15" t="str">
        <f aca="false">IFERROR(INDEX($B$6:$B$17,MATCH(J47,$E$6:$E$17,0)),"")</f>
        <v/>
      </c>
      <c r="L47" s="21" t="s">
        <v>83</v>
      </c>
    </row>
    <row r="48" customFormat="false" ht="22.35" hidden="false" customHeight="false" outlineLevel="0" collapsed="false">
      <c r="A48" s="21"/>
      <c r="B48" s="15" t="str">
        <f aca="false">IFERROR(INDEX($B$6:$B$17,MATCH(C48,$E$6:$E$17,0)),"")</f>
        <v>Segment A</v>
      </c>
      <c r="C48" s="9" t="n">
        <v>13</v>
      </c>
      <c r="D48" s="15" t="s">
        <v>84</v>
      </c>
      <c r="E48" s="20"/>
      <c r="F48" s="20"/>
      <c r="G48" s="20"/>
      <c r="H48" s="20"/>
      <c r="I48" s="15" t="s">
        <v>85</v>
      </c>
      <c r="J48" s="9" t="n">
        <v>15</v>
      </c>
      <c r="K48" s="15" t="str">
        <f aca="false">IFERROR(INDEX($B$6:$B$17,MATCH(J48,$E$6:$E$17,0)),"")</f>
        <v/>
      </c>
      <c r="L48" s="22" t="s">
        <v>74</v>
      </c>
    </row>
    <row r="49" customFormat="false" ht="15" hidden="false" customHeight="false" outlineLevel="0" collapsed="false">
      <c r="A49" s="18" t="s">
        <v>86</v>
      </c>
      <c r="B49" s="19"/>
      <c r="C49" s="19"/>
      <c r="D49" s="12" t="s">
        <v>87</v>
      </c>
      <c r="E49" s="20"/>
      <c r="F49" s="20"/>
      <c r="G49" s="20"/>
      <c r="H49" s="20"/>
      <c r="I49" s="12" t="s">
        <v>87</v>
      </c>
      <c r="J49" s="19"/>
      <c r="K49" s="19"/>
      <c r="L49" s="18" t="s">
        <v>86</v>
      </c>
    </row>
    <row r="50" customFormat="false" ht="15" hidden="false" customHeight="false" outlineLevel="0" collapsed="false">
      <c r="A50" s="18" t="s">
        <v>88</v>
      </c>
      <c r="B50" s="19"/>
      <c r="C50" s="19"/>
      <c r="D50" s="12" t="s">
        <v>89</v>
      </c>
      <c r="E50" s="20"/>
      <c r="F50" s="20"/>
      <c r="G50" s="20"/>
      <c r="H50" s="20"/>
      <c r="I50" s="12" t="s">
        <v>90</v>
      </c>
      <c r="J50" s="19"/>
      <c r="K50" s="19"/>
      <c r="L50" s="18" t="s">
        <v>91</v>
      </c>
    </row>
    <row r="52" customFormat="false" ht="15" hidden="false" customHeight="false" outlineLevel="0" collapsed="false">
      <c r="A52" s="23" t="s">
        <v>92</v>
      </c>
    </row>
    <row r="53" customFormat="false" ht="15" hidden="false" customHeight="true" outlineLevel="0" collapsed="false">
      <c r="A53" s="5"/>
      <c r="B53" s="24" t="s">
        <v>93</v>
      </c>
      <c r="C53" s="24"/>
      <c r="D53" s="24"/>
      <c r="E53" s="24"/>
    </row>
    <row r="54" customFormat="false" ht="15" hidden="false" customHeight="true" outlineLevel="0" collapsed="false">
      <c r="A54" s="10"/>
      <c r="B54" s="24" t="s">
        <v>94</v>
      </c>
      <c r="C54" s="24"/>
      <c r="D54" s="24"/>
      <c r="E54" s="24"/>
    </row>
    <row r="55" customFormat="false" ht="15" hidden="false" customHeight="true" outlineLevel="0" collapsed="false">
      <c r="A55" s="8"/>
      <c r="B55" s="24" t="s">
        <v>95</v>
      </c>
      <c r="C55" s="24"/>
      <c r="D55" s="24"/>
      <c r="E55" s="24"/>
    </row>
    <row r="56" customFormat="false" ht="15" hidden="false" customHeight="true" outlineLevel="0" collapsed="false">
      <c r="A56" s="25"/>
      <c r="B56" s="24" t="s">
        <v>96</v>
      </c>
      <c r="C56" s="24"/>
      <c r="D56" s="24"/>
      <c r="E56" s="24"/>
    </row>
    <row r="57" customFormat="false" ht="15" hidden="false" customHeight="true" outlineLevel="0" collapsed="false">
      <c r="A57" s="19"/>
      <c r="B57" s="24" t="s">
        <v>97</v>
      </c>
      <c r="C57" s="24"/>
      <c r="D57" s="24"/>
      <c r="E57" s="24"/>
    </row>
    <row r="59" customFormat="false" ht="15" hidden="false" customHeight="true" outlineLevel="0" collapsed="false">
      <c r="A59" s="2" t="s">
        <v>98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</sheetData>
  <mergeCells count="18">
    <mergeCell ref="A1:L1"/>
    <mergeCell ref="A2:L2"/>
    <mergeCell ref="A4:L4"/>
    <mergeCell ref="A18:L18"/>
    <mergeCell ref="A19:L19"/>
    <mergeCell ref="A20:L20"/>
    <mergeCell ref="A23:L23"/>
    <mergeCell ref="B27:G27"/>
    <mergeCell ref="A31:L31"/>
    <mergeCell ref="A34:L34"/>
    <mergeCell ref="E35:H35"/>
    <mergeCell ref="E36:H50"/>
    <mergeCell ref="B53:E53"/>
    <mergeCell ref="B54:E54"/>
    <mergeCell ref="B55:E55"/>
    <mergeCell ref="B56:E56"/>
    <mergeCell ref="B57:E57"/>
    <mergeCell ref="A59:L59"/>
  </mergeCells>
  <conditionalFormatting sqref="H6:H17">
    <cfRule type="expression" priority="2" aboveAverage="0" equalAverage="0" bottom="0" percent="0" rank="0" text="" dxfId="0">
      <formula>H6&lt;&gt;"OK"</formula>
    </cfRule>
    <cfRule type="expression" priority="3" aboveAverage="0" equalAverage="0" bottom="0" percent="0" rank="0" text="" dxfId="1">
      <formula>H6="OK"</formula>
    </cfRule>
  </conditionalFormatting>
  <conditionalFormatting sqref="K36">
    <cfRule type="expression" priority="4" aboveAverage="0" equalAverage="0" bottom="0" percent="0" rank="0" text="" dxfId="2">
      <formula>LEFT(K36,5)="Digit"</formula>
    </cfRule>
    <cfRule type="expression" priority="5" aboveAverage="0" equalAverage="0" bottom="0" percent="0" rank="0" text="" dxfId="3">
      <formula>OR(LEFT(K36,7)="Segment",LEFT(K36,5)="Dezim")</formula>
    </cfRule>
  </conditionalFormatting>
  <conditionalFormatting sqref="B37">
    <cfRule type="expression" priority="6" aboveAverage="0" equalAverage="0" bottom="0" percent="0" rank="0" text="" dxfId="2">
      <formula>LEFT(B37,5)="Digit"</formula>
    </cfRule>
    <cfRule type="expression" priority="7" aboveAverage="0" equalAverage="0" bottom="0" percent="0" rank="0" text="" dxfId="3">
      <formula>OR(LEFT(B37,7)="Segment",LEFT(B37,5)="Dezim")</formula>
    </cfRule>
  </conditionalFormatting>
  <conditionalFormatting sqref="K37">
    <cfRule type="expression" priority="8" aboveAverage="0" equalAverage="0" bottom="0" percent="0" rank="0" text="" dxfId="2">
      <formula>LEFT(K37,5)="Digit"</formula>
    </cfRule>
    <cfRule type="expression" priority="9" aboveAverage="0" equalAverage="0" bottom="0" percent="0" rank="0" text="" dxfId="3">
      <formula>OR(LEFT(K37,7)="Segment",LEFT(K37,5)="Dezim")</formula>
    </cfRule>
  </conditionalFormatting>
  <conditionalFormatting sqref="B38">
    <cfRule type="expression" priority="10" aboveAverage="0" equalAverage="0" bottom="0" percent="0" rank="0" text="" dxfId="2">
      <formula>LEFT(B38,5)="Digit"</formula>
    </cfRule>
    <cfRule type="expression" priority="11" aboveAverage="0" equalAverage="0" bottom="0" percent="0" rank="0" text="" dxfId="3">
      <formula>OR(LEFT(B38,7)="Segment",LEFT(B38,5)="Dezim")</formula>
    </cfRule>
  </conditionalFormatting>
  <conditionalFormatting sqref="K38">
    <cfRule type="expression" priority="12" aboveAverage="0" equalAverage="0" bottom="0" percent="0" rank="0" text="" dxfId="2">
      <formula>LEFT(K38,5)="Digit"</formula>
    </cfRule>
    <cfRule type="expression" priority="13" aboveAverage="0" equalAverage="0" bottom="0" percent="0" rank="0" text="" dxfId="3">
      <formula>OR(LEFT(K38,7)="Segment",LEFT(K38,5)="Dezim")</formula>
    </cfRule>
  </conditionalFormatting>
  <conditionalFormatting sqref="B39">
    <cfRule type="expression" priority="14" aboveAverage="0" equalAverage="0" bottom="0" percent="0" rank="0" text="" dxfId="2">
      <formula>LEFT(B39,5)="Digit"</formula>
    </cfRule>
    <cfRule type="expression" priority="15" aboveAverage="0" equalAverage="0" bottom="0" percent="0" rank="0" text="" dxfId="3">
      <formula>OR(LEFT(B39,7)="Segment",LEFT(B39,5)="Dezim")</formula>
    </cfRule>
  </conditionalFormatting>
  <conditionalFormatting sqref="K39">
    <cfRule type="expression" priority="16" aboveAverage="0" equalAverage="0" bottom="0" percent="0" rank="0" text="" dxfId="2">
      <formula>LEFT(K39,5)="Digit"</formula>
    </cfRule>
    <cfRule type="expression" priority="17" aboveAverage="0" equalAverage="0" bottom="0" percent="0" rank="0" text="" dxfId="3">
      <formula>OR(LEFT(K39,7)="Segment",LEFT(K39,5)="Dezim")</formula>
    </cfRule>
  </conditionalFormatting>
  <conditionalFormatting sqref="B40">
    <cfRule type="expression" priority="18" aboveAverage="0" equalAverage="0" bottom="0" percent="0" rank="0" text="" dxfId="2">
      <formula>LEFT(B40,5)="Digit"</formula>
    </cfRule>
    <cfRule type="expression" priority="19" aboveAverage="0" equalAverage="0" bottom="0" percent="0" rank="0" text="" dxfId="3">
      <formula>OR(LEFT(B40,7)="Segment",LEFT(B40,5)="Dezim")</formula>
    </cfRule>
  </conditionalFormatting>
  <conditionalFormatting sqref="K40">
    <cfRule type="expression" priority="20" aboveAverage="0" equalAverage="0" bottom="0" percent="0" rank="0" text="" dxfId="2">
      <formula>LEFT(K40,5)="Digit"</formula>
    </cfRule>
    <cfRule type="expression" priority="21" aboveAverage="0" equalAverage="0" bottom="0" percent="0" rank="0" text="" dxfId="3">
      <formula>OR(LEFT(K40,7)="Segment",LEFT(K40,5)="Dezim")</formula>
    </cfRule>
  </conditionalFormatting>
  <conditionalFormatting sqref="B41">
    <cfRule type="expression" priority="22" aboveAverage="0" equalAverage="0" bottom="0" percent="0" rank="0" text="" dxfId="2">
      <formula>LEFT(B41,5)="Digit"</formula>
    </cfRule>
    <cfRule type="expression" priority="23" aboveAverage="0" equalAverage="0" bottom="0" percent="0" rank="0" text="" dxfId="3">
      <formula>OR(LEFT(B41,7)="Segment",LEFT(B41,5)="Dezim")</formula>
    </cfRule>
  </conditionalFormatting>
  <conditionalFormatting sqref="K41">
    <cfRule type="expression" priority="24" aboveAverage="0" equalAverage="0" bottom="0" percent="0" rank="0" text="" dxfId="2">
      <formula>LEFT(K41,5)="Digit"</formula>
    </cfRule>
    <cfRule type="expression" priority="25" aboveAverage="0" equalAverage="0" bottom="0" percent="0" rank="0" text="" dxfId="3">
      <formula>OR(LEFT(K41,7)="Segment",LEFT(K41,5)="Dezim")</formula>
    </cfRule>
  </conditionalFormatting>
  <conditionalFormatting sqref="B42">
    <cfRule type="expression" priority="26" aboveAverage="0" equalAverage="0" bottom="0" percent="0" rank="0" text="" dxfId="2">
      <formula>LEFT(B42,5)="Digit"</formula>
    </cfRule>
    <cfRule type="expression" priority="27" aboveAverage="0" equalAverage="0" bottom="0" percent="0" rank="0" text="" dxfId="3">
      <formula>OR(LEFT(B42,7)="Segment",LEFT(B42,5)="Dezim")</formula>
    </cfRule>
  </conditionalFormatting>
  <conditionalFormatting sqref="K42">
    <cfRule type="expression" priority="28" aboveAverage="0" equalAverage="0" bottom="0" percent="0" rank="0" text="" dxfId="2">
      <formula>LEFT(K42,5)="Digit"</formula>
    </cfRule>
    <cfRule type="expression" priority="29" aboveAverage="0" equalAverage="0" bottom="0" percent="0" rank="0" text="" dxfId="3">
      <formula>OR(LEFT(K42,7)="Segment",LEFT(K42,5)="Dezim")</formula>
    </cfRule>
  </conditionalFormatting>
  <conditionalFormatting sqref="B43">
    <cfRule type="expression" priority="30" aboveAverage="0" equalAverage="0" bottom="0" percent="0" rank="0" text="" dxfId="2">
      <formula>LEFT(B43,5)="Digit"</formula>
    </cfRule>
    <cfRule type="expression" priority="31" aboveAverage="0" equalAverage="0" bottom="0" percent="0" rank="0" text="" dxfId="3">
      <formula>OR(LEFT(B43,7)="Segment",LEFT(B43,5)="Dezim")</formula>
    </cfRule>
  </conditionalFormatting>
  <conditionalFormatting sqref="K43">
    <cfRule type="expression" priority="32" aboveAverage="0" equalAverage="0" bottom="0" percent="0" rank="0" text="" dxfId="2">
      <formula>LEFT(K43,5)="Digit"</formula>
    </cfRule>
    <cfRule type="expression" priority="33" aboveAverage="0" equalAverage="0" bottom="0" percent="0" rank="0" text="" dxfId="3">
      <formula>OR(LEFT(K43,7)="Segment",LEFT(K43,5)="Dezim")</formula>
    </cfRule>
  </conditionalFormatting>
  <conditionalFormatting sqref="B44">
    <cfRule type="expression" priority="34" aboveAverage="0" equalAverage="0" bottom="0" percent="0" rank="0" text="" dxfId="2">
      <formula>LEFT(B44,5)="Digit"</formula>
    </cfRule>
    <cfRule type="expression" priority="35" aboveAverage="0" equalAverage="0" bottom="0" percent="0" rank="0" text="" dxfId="3">
      <formula>OR(LEFT(B44,7)="Segment",LEFT(B44,5)="Dezim")</formula>
    </cfRule>
  </conditionalFormatting>
  <conditionalFormatting sqref="K44">
    <cfRule type="expression" priority="36" aboveAverage="0" equalAverage="0" bottom="0" percent="0" rank="0" text="" dxfId="2">
      <formula>LEFT(K44,5)="Digit"</formula>
    </cfRule>
    <cfRule type="expression" priority="37" aboveAverage="0" equalAverage="0" bottom="0" percent="0" rank="0" text="" dxfId="3">
      <formula>OR(LEFT(K44,7)="Segment",LEFT(K44,5)="Dezim")</formula>
    </cfRule>
  </conditionalFormatting>
  <conditionalFormatting sqref="B45">
    <cfRule type="expression" priority="38" aboveAverage="0" equalAverage="0" bottom="0" percent="0" rank="0" text="" dxfId="2">
      <formula>LEFT(B45,5)="Digit"</formula>
    </cfRule>
    <cfRule type="expression" priority="39" aboveAverage="0" equalAverage="0" bottom="0" percent="0" rank="0" text="" dxfId="3">
      <formula>OR(LEFT(B45,7)="Segment",LEFT(B45,5)="Dezim")</formula>
    </cfRule>
  </conditionalFormatting>
  <conditionalFormatting sqref="K45">
    <cfRule type="expression" priority="40" aboveAverage="0" equalAverage="0" bottom="0" percent="0" rank="0" text="" dxfId="2">
      <formula>LEFT(K45,5)="Digit"</formula>
    </cfRule>
    <cfRule type="expression" priority="41" aboveAverage="0" equalAverage="0" bottom="0" percent="0" rank="0" text="" dxfId="3">
      <formula>OR(LEFT(K45,7)="Segment",LEFT(K45,5)="Dezim")</formula>
    </cfRule>
  </conditionalFormatting>
  <conditionalFormatting sqref="B46">
    <cfRule type="expression" priority="42" aboveAverage="0" equalAverage="0" bottom="0" percent="0" rank="0" text="" dxfId="2">
      <formula>LEFT(B46,5)="Digit"</formula>
    </cfRule>
    <cfRule type="expression" priority="43" aboveAverage="0" equalAverage="0" bottom="0" percent="0" rank="0" text="" dxfId="3">
      <formula>OR(LEFT(B46,7)="Segment",LEFT(B46,5)="Dezim")</formula>
    </cfRule>
  </conditionalFormatting>
  <conditionalFormatting sqref="K46">
    <cfRule type="expression" priority="44" aboveAverage="0" equalAverage="0" bottom="0" percent="0" rank="0" text="" dxfId="2">
      <formula>LEFT(K46,5)="Digit"</formula>
    </cfRule>
    <cfRule type="expression" priority="45" aboveAverage="0" equalAverage="0" bottom="0" percent="0" rank="0" text="" dxfId="3">
      <formula>OR(LEFT(K46,7)="Segment",LEFT(K46,5)="Dezim")</formula>
    </cfRule>
  </conditionalFormatting>
  <conditionalFormatting sqref="B47">
    <cfRule type="expression" priority="46" aboveAverage="0" equalAverage="0" bottom="0" percent="0" rank="0" text="" dxfId="2">
      <formula>LEFT(B47,5)="Digit"</formula>
    </cfRule>
    <cfRule type="expression" priority="47" aboveAverage="0" equalAverage="0" bottom="0" percent="0" rank="0" text="" dxfId="3">
      <formula>OR(LEFT(B47,7)="Segment",LEFT(B47,5)="Dezim")</formula>
    </cfRule>
  </conditionalFormatting>
  <conditionalFormatting sqref="K47">
    <cfRule type="expression" priority="48" aboveAverage="0" equalAverage="0" bottom="0" percent="0" rank="0" text="" dxfId="2">
      <formula>LEFT(K47,5)="Digit"</formula>
    </cfRule>
    <cfRule type="expression" priority="49" aboveAverage="0" equalAverage="0" bottom="0" percent="0" rank="0" text="" dxfId="3">
      <formula>OR(LEFT(K47,7)="Segment",LEFT(K47,5)="Dezim")</formula>
    </cfRule>
  </conditionalFormatting>
  <conditionalFormatting sqref="B48">
    <cfRule type="expression" priority="50" aboveAverage="0" equalAverage="0" bottom="0" percent="0" rank="0" text="" dxfId="2">
      <formula>LEFT(B48,5)="Digit"</formula>
    </cfRule>
    <cfRule type="expression" priority="51" aboveAverage="0" equalAverage="0" bottom="0" percent="0" rank="0" text="" dxfId="3">
      <formula>OR(LEFT(B48,7)="Segment",LEFT(B48,5)="Dezim")</formula>
    </cfRule>
  </conditionalFormatting>
  <conditionalFormatting sqref="K48">
    <cfRule type="expression" priority="52" aboveAverage="0" equalAverage="0" bottom="0" percent="0" rank="0" text="" dxfId="2">
      <formula>LEFT(K48,5)="Digit"</formula>
    </cfRule>
    <cfRule type="expression" priority="53" aboveAverage="0" equalAverage="0" bottom="0" percent="0" rank="0" text="" dxfId="3">
      <formula>OR(LEFT(K48,7)="Segment",LEFT(K48,5)="Dezim")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2026-10-06T14:57:08Z</dcterms:created>
  <dc:creator>openpyxl</dc:creator>
  <dc:description/>
  <dc:language>en-US</dc:language>
  <cp:lastModifiedBy/>
  <dcterms:modified xsi:type="dcterms:W3CDTF">2026-10-06T14:57:08Z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